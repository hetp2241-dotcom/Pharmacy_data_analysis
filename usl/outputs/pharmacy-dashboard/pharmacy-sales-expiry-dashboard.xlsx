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unj\Documents\Codex\usl\outputs\pharmacy-dashboard\"/>
    </mc:Choice>
  </mc:AlternateContent>
  <xr:revisionPtr revIDLastSave="0" documentId="13_ncr:1_{82055652-AC32-4F32-B2D3-CF3C771EB42F}" xr6:coauthVersionLast="47" xr6:coauthVersionMax="47" xr10:uidLastSave="{00000000-0000-0000-0000-000000000000}"/>
  <bookViews>
    <workbookView xWindow="2988" yWindow="2280" windowWidth="17280" windowHeight="9960" xr2:uid="{00000000-000D-0000-FFFF-FFFF00000000}"/>
  </bookViews>
  <sheets>
    <sheet name="Dashboard" sheetId="1" r:id="rId1"/>
    <sheet name="Sales Summary" sheetId="2" r:id="rId2"/>
    <sheet name="Expiry Summary" sheetId="3" r:id="rId3"/>
    <sheet name="Product Detail" sheetId="4" r:id="rId4"/>
  </sheets>
  <calcPr calcId="0"/>
</workbook>
</file>

<file path=xl/sharedStrings.xml><?xml version="1.0" encoding="utf-8"?>
<sst xmlns="http://schemas.openxmlformats.org/spreadsheetml/2006/main" count="316" uniqueCount="126">
  <si>
    <t>Pharmacy Sales and Expiry Dashboard</t>
  </si>
  <si>
    <t>Built from the 30,000-transaction pharmacy dataset | Focus: revenue flow, category mix, and expiry risk exposure</t>
  </si>
  <si>
    <t>Total Sales</t>
  </si>
  <si>
    <t>Transactions</t>
  </si>
  <si>
    <t>Units Sold</t>
  </si>
  <si>
    <t>Expiry Risk Value</t>
  </si>
  <si>
    <t>Monthly Revenue Trend</t>
  </si>
  <si>
    <t>Category Sales Mix</t>
  </si>
  <si>
    <t>Month</t>
  </si>
  <si>
    <t>Gross Sales</t>
  </si>
  <si>
    <t>Category</t>
  </si>
  <si>
    <t>2025-04</t>
  </si>
  <si>
    <t>Gastro</t>
  </si>
  <si>
    <t>2025-05</t>
  </si>
  <si>
    <t>Pain Relief</t>
  </si>
  <si>
    <t>2025-06</t>
  </si>
  <si>
    <t>Vitamins</t>
  </si>
  <si>
    <t>2025-07</t>
  </si>
  <si>
    <t>Allergy</t>
  </si>
  <si>
    <t>2025-08</t>
  </si>
  <si>
    <t>Antibiotic</t>
  </si>
  <si>
    <t>2025-09</t>
  </si>
  <si>
    <t>Hormonal</t>
  </si>
  <si>
    <t>2025-10</t>
  </si>
  <si>
    <t>Expiry Exposure</t>
  </si>
  <si>
    <t>Top Risk Batches</t>
  </si>
  <si>
    <t>Expiry Bucket</t>
  </si>
  <si>
    <t>Batch Count</t>
  </si>
  <si>
    <t>Stock In Hand</t>
  </si>
  <si>
    <t>Risk Value</t>
  </si>
  <si>
    <t>Batch No</t>
  </si>
  <si>
    <t>Medicine</t>
  </si>
  <si>
    <t>Days To Expiry</t>
  </si>
  <si>
    <t>Stock</t>
  </si>
  <si>
    <t>Expired</t>
  </si>
  <si>
    <t>MED029-B03</t>
  </si>
  <si>
    <t>Pantosafe 29</t>
  </si>
  <si>
    <t>31-60 days</t>
  </si>
  <si>
    <t>0-30 days</t>
  </si>
  <si>
    <t>MED018-B05</t>
  </si>
  <si>
    <t>Neurorise 18</t>
  </si>
  <si>
    <t>Respiratory</t>
  </si>
  <si>
    <t>MED059-B04</t>
  </si>
  <si>
    <t>Calvita 59</t>
  </si>
  <si>
    <t>61-90 days</t>
  </si>
  <si>
    <t>MED009-B03</t>
  </si>
  <si>
    <t>Pantosafe 9</t>
  </si>
  <si>
    <t>90+ days</t>
  </si>
  <si>
    <t>MED079-B03</t>
  </si>
  <si>
    <t>Calvita 79</t>
  </si>
  <si>
    <t>Highlights: Gastro leads category sales, expiry risk outside the 90+ day bucket totals $270830.63, and the dashboard is organized for direct reporting or Power BI handoff.</t>
  </si>
  <si>
    <t>2025-11</t>
  </si>
  <si>
    <t>Cardiac</t>
  </si>
  <si>
    <t>2025-12</t>
  </si>
  <si>
    <t>Diabetes</t>
  </si>
  <si>
    <t>2026-01</t>
  </si>
  <si>
    <t>Neurology</t>
  </si>
  <si>
    <t>2026-02</t>
  </si>
  <si>
    <t>2026-03</t>
  </si>
  <si>
    <t>2026-04</t>
  </si>
  <si>
    <t>MED059-B02</t>
  </si>
  <si>
    <t>MED039-B02</t>
  </si>
  <si>
    <t>Calvita 39</t>
  </si>
  <si>
    <t>MED044-B04</t>
  </si>
  <si>
    <t>Amorid 44</t>
  </si>
  <si>
    <t>MED099-B01</t>
  </si>
  <si>
    <t>Calvita 99</t>
  </si>
  <si>
    <t>MED001-B04</t>
  </si>
  <si>
    <t>Paracure 1</t>
  </si>
  <si>
    <t>MED002-B02</t>
  </si>
  <si>
    <t>Ibuplus 2</t>
  </si>
  <si>
    <t>MED004-B01</t>
  </si>
  <si>
    <t>Amorid 4</t>
  </si>
  <si>
    <t>MED006-B02</t>
  </si>
  <si>
    <t>Glusure 6</t>
  </si>
  <si>
    <t>MED007-B03</t>
  </si>
  <si>
    <t>Cardaid 7</t>
  </si>
  <si>
    <t>MED008-B02</t>
  </si>
  <si>
    <t>Omefast 8</t>
  </si>
  <si>
    <t>Medicine ID</t>
  </si>
  <si>
    <t>Medicine Name</t>
  </si>
  <si>
    <t>Brand</t>
  </si>
  <si>
    <t>Average Sale Value</t>
  </si>
  <si>
    <t>MED027</t>
  </si>
  <si>
    <t>Cardaid 27</t>
  </si>
  <si>
    <t>NovaMed</t>
  </si>
  <si>
    <t>MED093</t>
  </si>
  <si>
    <t>B12calm 93</t>
  </si>
  <si>
    <t>PulseRx</t>
  </si>
  <si>
    <t>MED095</t>
  </si>
  <si>
    <t>Bronmed 95</t>
  </si>
  <si>
    <t>Airleaf</t>
  </si>
  <si>
    <t>MED052</t>
  </si>
  <si>
    <t>Vitawell 52</t>
  </si>
  <si>
    <t>LifeDrop</t>
  </si>
  <si>
    <t>MED002</t>
  </si>
  <si>
    <t>Healix</t>
  </si>
  <si>
    <t>MED005</t>
  </si>
  <si>
    <t>Aziair 5</t>
  </si>
  <si>
    <t>MED007</t>
  </si>
  <si>
    <t>MED018</t>
  </si>
  <si>
    <t>MED065</t>
  </si>
  <si>
    <t>Aziair 65</t>
  </si>
  <si>
    <t>MediCure</t>
  </si>
  <si>
    <t>MED081</t>
  </si>
  <si>
    <t>Paracure 81</t>
  </si>
  <si>
    <t>MED051</t>
  </si>
  <si>
    <t>Monttide 51</t>
  </si>
  <si>
    <t>MED064</t>
  </si>
  <si>
    <t>Amorid 64</t>
  </si>
  <si>
    <t>NutriZen</t>
  </si>
  <si>
    <t>MED015</t>
  </si>
  <si>
    <t>Bronmed 15</t>
  </si>
  <si>
    <t>MED098</t>
  </si>
  <si>
    <t>Neurorise 98</t>
  </si>
  <si>
    <t>MED004</t>
  </si>
  <si>
    <t>MED045</t>
  </si>
  <si>
    <t>Aziair 45</t>
  </si>
  <si>
    <t>MED086</t>
  </si>
  <si>
    <t>Glusure 86</t>
  </si>
  <si>
    <t>Digesta</t>
  </si>
  <si>
    <t>MED091</t>
  </si>
  <si>
    <t>Monttide 91</t>
  </si>
  <si>
    <t>MED089</t>
  </si>
  <si>
    <t>Pantosafe 89</t>
  </si>
  <si>
    <t>MED006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</si>
</sst>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2">
    <font>
      <sz val="11"/>
      <name val="Carlito"/>
    </font>
    <font>
      <sz val="11"/>
      <color rgb="FF0F172A"/>
      <name val="Aptos"/>
    </font>
    <font>
      <b/>
      <sz val="22"/>
      <color rgb="FFFFFFFF"/>
      <name val="Aptos"/>
    </font>
    <font>
      <sz val="11"/>
      <color rgb="FFFFFFFF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b/>
      <sz val="14"/>
      <color rgb="FFFFFFFF"/>
      <name val="Aptos"/>
    </font>
    <font>
      <b/>
      <sz val="10"/>
      <color rgb="FF0F172A"/>
      <name val="Carlito"/>
    </font>
    <font>
      <sz val="10"/>
      <color rgb="FF0F172A"/>
      <name val="Carlito"/>
    </font>
    <font>
      <b/>
      <sz val="10"/>
      <color rgb="FF0F172A"/>
      <name val="Aptos"/>
    </font>
    <font>
      <sz val="10"/>
      <color rgb="FF0F172A"/>
      <name val="Aptos"/>
    </font>
    <font>
      <i/>
      <sz val="10"/>
      <color rgb="FF475569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8F5EF"/>
      </patternFill>
    </fill>
    <fill>
      <patternFill patternType="solid">
        <fgColor rgb="FF0F172A"/>
      </patternFill>
    </fill>
    <fill>
      <patternFill patternType="solid">
        <fgColor rgb="FF0F4C81"/>
      </patternFill>
    </fill>
    <fill>
      <patternFill patternType="solid">
        <fgColor rgb="FF39A78E"/>
      </patternFill>
    </fill>
    <fill>
      <patternFill patternType="solid">
        <fgColor rgb="FFE2A93B"/>
      </patternFill>
    </fill>
    <fill>
      <patternFill patternType="solid">
        <fgColor rgb="FFE76F51"/>
      </patternFill>
    </fill>
    <fill>
      <patternFill patternType="solid">
        <fgColor rgb="FFFFFFFF"/>
      </patternFill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3" fillId="4" borderId="0" xfId="0" applyFont="1" applyFill="1"/>
    <xf numFmtId="0" fontId="4" fillId="4" borderId="0" xfId="0" applyFont="1" applyFill="1"/>
    <xf numFmtId="164" fontId="5" fillId="4" borderId="0" xfId="0" applyNumberFormat="1" applyFont="1" applyFill="1"/>
    <xf numFmtId="0" fontId="3" fillId="5" borderId="0" xfId="0" applyFont="1" applyFill="1"/>
    <xf numFmtId="0" fontId="4" fillId="5" borderId="0" xfId="0" applyFont="1" applyFill="1"/>
    <xf numFmtId="3" fontId="5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3" fontId="5" fillId="6" borderId="0" xfId="0" applyNumberFormat="1" applyFont="1" applyFill="1"/>
    <xf numFmtId="0" fontId="3" fillId="7" borderId="0" xfId="0" applyFont="1" applyFill="1"/>
    <xf numFmtId="0" fontId="4" fillId="7" borderId="0" xfId="0" applyFont="1" applyFill="1"/>
    <xf numFmtId="164" fontId="5" fillId="7" borderId="0" xfId="0" applyNumberFormat="1" applyFont="1" applyFill="1"/>
    <xf numFmtId="0" fontId="7" fillId="8" borderId="0" xfId="0" applyFont="1" applyFill="1" applyAlignment="1">
      <alignment horizontal="center" vertical="center"/>
    </xf>
    <xf numFmtId="0" fontId="8" fillId="8" borderId="0" xfId="0" applyFont="1" applyFill="1"/>
    <xf numFmtId="165" fontId="8" fillId="8" borderId="0" xfId="0" applyNumberFormat="1" applyFont="1" applyFill="1"/>
    <xf numFmtId="0" fontId="9" fillId="8" borderId="0" xfId="0" applyFont="1" applyFill="1" applyAlignment="1">
      <alignment horizontal="center" vertical="center"/>
    </xf>
    <xf numFmtId="0" fontId="10" fillId="8" borderId="0" xfId="0" applyFont="1" applyFill="1"/>
    <xf numFmtId="165" fontId="10" fillId="8" borderId="0" xfId="0" applyNumberFormat="1" applyFont="1" applyFill="1"/>
    <xf numFmtId="0" fontId="2" fillId="3" borderId="0" xfId="0" applyFont="1" applyFill="1" applyAlignment="1">
      <alignment horizontal="left" vertical="center"/>
    </xf>
    <xf numFmtId="0" fontId="1" fillId="2" borderId="0" xfId="0" applyFont="1" applyFill="1"/>
    <xf numFmtId="0" fontId="3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1" fillId="9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Gross Sales</c:v>
          </c:tx>
          <c:cat>
            <c:strRef>
              <c:f>'Sales Summary'!$K$2:$K$14</c:f>
              <c:strCache>
                <c:ptCount val="13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</c:strCache>
            </c:strRef>
          </c:cat>
          <c:val>
            <c:numRef>
              <c:f>'Sales Summary'!$L$2:$L$14</c:f>
              <c:numCache>
                <c:formatCode>\$#,##0.00</c:formatCode>
                <c:ptCount val="13"/>
                <c:pt idx="0">
                  <c:v>231683.87</c:v>
                </c:pt>
                <c:pt idx="1">
                  <c:v>1469785.17</c:v>
                </c:pt>
                <c:pt idx="2">
                  <c:v>1879966.56</c:v>
                </c:pt>
                <c:pt idx="3">
                  <c:v>2873594.61</c:v>
                </c:pt>
                <c:pt idx="4">
                  <c:v>3133334.42</c:v>
                </c:pt>
                <c:pt idx="5">
                  <c:v>3579357.62</c:v>
                </c:pt>
                <c:pt idx="6">
                  <c:v>4143188.78</c:v>
                </c:pt>
                <c:pt idx="7">
                  <c:v>4422380.34</c:v>
                </c:pt>
                <c:pt idx="8">
                  <c:v>5219926.71</c:v>
                </c:pt>
                <c:pt idx="9">
                  <c:v>5590594.9199999999</c:v>
                </c:pt>
                <c:pt idx="10">
                  <c:v>5244437.72</c:v>
                </c:pt>
                <c:pt idx="11">
                  <c:v>5708709.3899999997</c:v>
                </c:pt>
                <c:pt idx="12">
                  <c:v>4426175.4000000004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8-4EC6-A6C9-08037A8C6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Category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Sales</c:v>
          </c:tx>
          <c:invertIfNegative val="1"/>
          <c:cat>
            <c:strRef>
              <c:f>'Sales Summary'!$N$2:$N$11</c:f>
              <c:strCache>
                <c:ptCount val="10"/>
                <c:pt idx="0">
                  <c:v>Gastro</c:v>
                </c:pt>
                <c:pt idx="1">
                  <c:v>Pain Relief</c:v>
                </c:pt>
                <c:pt idx="2">
                  <c:v>Vitamins</c:v>
                </c:pt>
                <c:pt idx="3">
                  <c:v>Allergy</c:v>
                </c:pt>
                <c:pt idx="4">
                  <c:v>Antibiotic</c:v>
                </c:pt>
                <c:pt idx="5">
                  <c:v>Hormonal</c:v>
                </c:pt>
                <c:pt idx="6">
                  <c:v>Respiratory</c:v>
                </c:pt>
                <c:pt idx="7">
                  <c:v>Cardiac</c:v>
                </c:pt>
                <c:pt idx="8">
                  <c:v>Diabetes</c:v>
                </c:pt>
                <c:pt idx="9">
                  <c:v>Neurology</c:v>
                </c:pt>
              </c:strCache>
            </c:strRef>
          </c:cat>
          <c:val>
            <c:numRef>
              <c:f>'Sales Summary'!$O$2:$O$11</c:f>
              <c:numCache>
                <c:formatCode>\$#,##0.00</c:formatCode>
                <c:ptCount val="10"/>
                <c:pt idx="0">
                  <c:v>7478690.1500000004</c:v>
                </c:pt>
                <c:pt idx="1">
                  <c:v>5873595.6299999999</c:v>
                </c:pt>
                <c:pt idx="2">
                  <c:v>5391048.3899999997</c:v>
                </c:pt>
                <c:pt idx="3">
                  <c:v>4739926.5999999996</c:v>
                </c:pt>
                <c:pt idx="4">
                  <c:v>4529445.4000000004</c:v>
                </c:pt>
                <c:pt idx="5">
                  <c:v>4301327.3499999996</c:v>
                </c:pt>
                <c:pt idx="6">
                  <c:v>4088736.31</c:v>
                </c:pt>
                <c:pt idx="7">
                  <c:v>3964750.3</c:v>
                </c:pt>
                <c:pt idx="8">
                  <c:v>3850783.98</c:v>
                </c:pt>
                <c:pt idx="9">
                  <c:v>3704831.4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4-40C4-B144-D15A0CD2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Expiry Bucket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Batch Count</c:v>
          </c:tx>
          <c:cat>
            <c:strRef>
              <c:f>'Expiry Summary'!$A$2:$A$6</c:f>
              <c:strCache>
                <c:ptCount val="5"/>
                <c:pt idx="0">
                  <c:v>Expired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'Expiry Summary'!$B$2:$B$6</c:f>
              <c:numCache>
                <c:formatCode>General</c:formatCode>
                <c:ptCount val="5"/>
                <c:pt idx="0">
                  <c:v>58</c:v>
                </c:pt>
                <c:pt idx="1">
                  <c:v>12</c:v>
                </c:pt>
                <c:pt idx="2">
                  <c:v>11</c:v>
                </c:pt>
                <c:pt idx="3">
                  <c:v>18</c:v>
                </c:pt>
                <c:pt idx="4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1-4104-8A13-540F7C8FCD73}"/>
            </c:ext>
          </c:extLst>
        </c:ser>
        <c:ser>
          <c:idx val="1"/>
          <c:order val="1"/>
          <c:tx>
            <c:v>Stock In Hand</c:v>
          </c:tx>
          <c:cat>
            <c:strRef>
              <c:f>'Expiry Summary'!$A$2:$A$6</c:f>
              <c:strCache>
                <c:ptCount val="5"/>
                <c:pt idx="0">
                  <c:v>Expired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'Expiry Summary'!$C$2:$C$6</c:f>
              <c:numCache>
                <c:formatCode>General</c:formatCode>
                <c:ptCount val="5"/>
                <c:pt idx="0">
                  <c:v>293</c:v>
                </c:pt>
                <c:pt idx="1">
                  <c:v>325</c:v>
                </c:pt>
                <c:pt idx="2">
                  <c:v>1023</c:v>
                </c:pt>
                <c:pt idx="3">
                  <c:v>554</c:v>
                </c:pt>
                <c:pt idx="4">
                  <c:v>68754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1-4104-8A13-540F7C8FCD73}"/>
            </c:ext>
          </c:extLst>
        </c:ser>
        <c:ser>
          <c:idx val="2"/>
          <c:order val="2"/>
          <c:tx>
            <c:v>Risk Value</c:v>
          </c:tx>
          <c:cat>
            <c:strRef>
              <c:f>'Expiry Summary'!$A$2:$A$6</c:f>
              <c:strCache>
                <c:ptCount val="5"/>
                <c:pt idx="0">
                  <c:v>Expired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'Expiry Summary'!$D$2:$D$6</c:f>
              <c:numCache>
                <c:formatCode>\$#,##0.00</c:formatCode>
                <c:ptCount val="5"/>
                <c:pt idx="0">
                  <c:v>56093.62</c:v>
                </c:pt>
                <c:pt idx="1">
                  <c:v>53166.86</c:v>
                </c:pt>
                <c:pt idx="2">
                  <c:v>120608.15</c:v>
                </c:pt>
                <c:pt idx="3">
                  <c:v>40962</c:v>
                </c:pt>
                <c:pt idx="4">
                  <c:v>436890.13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F1-4104-8A13-540F7C8FC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showGridLines="0" tabSelected="1" workbookViewId="0">
      <selection activeCell="A7" sqref="A7"/>
    </sheetView>
  </sheetViews>
  <sheetFormatPr defaultRowHeight="13.8"/>
  <cols>
    <col min="1" max="1" width="13" customWidth="1"/>
    <col min="2" max="3" width="15" customWidth="1"/>
    <col min="4" max="9" width="13" customWidth="1"/>
    <col min="10" max="10" width="16.3984375" customWidth="1"/>
    <col min="11" max="11" width="15" customWidth="1"/>
    <col min="12" max="13" width="13" customWidth="1"/>
    <col min="14" max="14" width="15" customWidth="1"/>
    <col min="15" max="16" width="13" customWidth="1"/>
  </cols>
  <sheetData>
    <row r="1" spans="1:16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14.4">
      <c r="A3" s="22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3" t="s">
        <v>2</v>
      </c>
      <c r="B5" s="2"/>
      <c r="C5" s="2"/>
      <c r="D5" s="2"/>
      <c r="E5" s="6" t="s">
        <v>3</v>
      </c>
      <c r="F5" s="5"/>
      <c r="G5" s="5"/>
      <c r="H5" s="5"/>
      <c r="I5" s="9" t="s">
        <v>4</v>
      </c>
      <c r="J5" s="8"/>
      <c r="K5" s="8"/>
      <c r="L5" s="8"/>
      <c r="M5" s="12" t="s">
        <v>5</v>
      </c>
      <c r="N5" s="11"/>
      <c r="O5" s="11"/>
      <c r="P5" s="11"/>
    </row>
    <row r="6" spans="1:16" ht="18" customHeight="1">
      <c r="A6" s="2"/>
      <c r="B6" s="2"/>
      <c r="C6" s="2"/>
      <c r="D6" s="2"/>
      <c r="E6" s="5"/>
      <c r="F6" s="5"/>
      <c r="G6" s="5"/>
      <c r="H6" s="5"/>
      <c r="I6" s="8"/>
      <c r="J6" s="8"/>
      <c r="K6" s="8"/>
      <c r="L6" s="8"/>
      <c r="M6" s="11"/>
      <c r="N6" s="11"/>
      <c r="O6" s="11"/>
      <c r="P6" s="11"/>
    </row>
    <row r="7" spans="1:16" ht="18" customHeight="1">
      <c r="A7" s="4">
        <v>4792313</v>
      </c>
      <c r="B7" s="2"/>
      <c r="C7" s="2"/>
      <c r="D7" s="2"/>
      <c r="E7" s="7">
        <v>30000</v>
      </c>
      <c r="F7" s="5"/>
      <c r="G7" s="5"/>
      <c r="H7" s="5"/>
      <c r="I7" s="10">
        <v>134772</v>
      </c>
      <c r="J7" s="8"/>
      <c r="K7" s="8"/>
      <c r="L7" s="8"/>
      <c r="M7" s="13">
        <v>270830.63</v>
      </c>
      <c r="N7" s="11"/>
      <c r="O7" s="11"/>
      <c r="P7" s="11"/>
    </row>
    <row r="8" spans="1:16" ht="18" customHeight="1">
      <c r="A8" s="2"/>
      <c r="B8" s="2"/>
      <c r="C8" s="2"/>
      <c r="D8" s="2"/>
      <c r="E8" s="5"/>
      <c r="F8" s="5"/>
      <c r="G8" s="5"/>
      <c r="H8" s="5"/>
      <c r="I8" s="8"/>
      <c r="J8" s="8"/>
      <c r="K8" s="8"/>
      <c r="L8" s="8"/>
      <c r="M8" s="11"/>
      <c r="N8" s="11"/>
      <c r="O8" s="11"/>
      <c r="P8" s="11"/>
    </row>
    <row r="9" spans="1:1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">
      <c r="A10" s="23" t="s">
        <v>6</v>
      </c>
      <c r="B10" s="23" t="s">
        <v>6</v>
      </c>
      <c r="C10" s="23" t="s">
        <v>6</v>
      </c>
      <c r="D10" s="23" t="s">
        <v>6</v>
      </c>
      <c r="E10" s="23" t="s">
        <v>6</v>
      </c>
      <c r="F10" s="23" t="s">
        <v>6</v>
      </c>
      <c r="G10" s="23" t="s">
        <v>6</v>
      </c>
      <c r="H10" s="1"/>
      <c r="I10" s="23" t="s">
        <v>7</v>
      </c>
      <c r="J10" s="23" t="s">
        <v>7</v>
      </c>
      <c r="K10" s="23" t="s">
        <v>7</v>
      </c>
      <c r="L10" s="23" t="s">
        <v>7</v>
      </c>
      <c r="M10" s="23" t="s">
        <v>7</v>
      </c>
      <c r="N10" s="23" t="s">
        <v>7</v>
      </c>
      <c r="O10" s="23" t="s">
        <v>7</v>
      </c>
      <c r="P10" s="23" t="s">
        <v>7</v>
      </c>
    </row>
    <row r="11" spans="1:16" ht="14.4">
      <c r="A11" s="17" t="s">
        <v>8</v>
      </c>
      <c r="B11" s="17" t="s">
        <v>3</v>
      </c>
      <c r="C11" s="17" t="s">
        <v>4</v>
      </c>
      <c r="D11" s="17" t="s">
        <v>9</v>
      </c>
      <c r="E11" s="1"/>
      <c r="F11" s="1"/>
      <c r="G11" s="1"/>
      <c r="H11" s="1"/>
      <c r="I11" s="17" t="s">
        <v>10</v>
      </c>
      <c r="J11" s="17" t="s">
        <v>3</v>
      </c>
      <c r="K11" s="17" t="s">
        <v>4</v>
      </c>
      <c r="L11" s="17" t="s">
        <v>9</v>
      </c>
      <c r="M11" s="1"/>
      <c r="N11" s="1"/>
      <c r="O11" s="1"/>
      <c r="P11" s="1"/>
    </row>
    <row r="12" spans="1:16" ht="14.4">
      <c r="A12" s="18" t="s">
        <v>11</v>
      </c>
      <c r="B12" s="18">
        <v>171</v>
      </c>
      <c r="C12" s="18">
        <v>760</v>
      </c>
      <c r="D12" s="19">
        <v>231683.87</v>
      </c>
      <c r="E12" s="1"/>
      <c r="F12" s="1"/>
      <c r="G12" s="1"/>
      <c r="H12" s="1"/>
      <c r="I12" s="18" t="s">
        <v>12</v>
      </c>
      <c r="J12" s="18">
        <v>3038</v>
      </c>
      <c r="K12" s="18">
        <v>13710</v>
      </c>
      <c r="L12" s="19">
        <v>7478690.1500000004</v>
      </c>
      <c r="M12" s="1"/>
      <c r="N12" s="1"/>
      <c r="O12" s="1"/>
      <c r="P12" s="1"/>
    </row>
    <row r="13" spans="1:16" ht="14.4">
      <c r="A13" s="18" t="s">
        <v>13</v>
      </c>
      <c r="B13" s="18">
        <v>946</v>
      </c>
      <c r="C13" s="18">
        <v>4302</v>
      </c>
      <c r="D13" s="19">
        <v>1469785.17</v>
      </c>
      <c r="E13" s="1"/>
      <c r="F13" s="1"/>
      <c r="G13" s="1"/>
      <c r="H13" s="1"/>
      <c r="I13" s="18" t="s">
        <v>14</v>
      </c>
      <c r="J13" s="18">
        <v>3710</v>
      </c>
      <c r="K13" s="18">
        <v>16730</v>
      </c>
      <c r="L13" s="19">
        <v>5873595.6299999999</v>
      </c>
      <c r="M13" s="1"/>
      <c r="N13" s="1"/>
      <c r="O13" s="1"/>
      <c r="P13" s="1"/>
    </row>
    <row r="14" spans="1:16" ht="14.4">
      <c r="A14" s="18" t="s">
        <v>15</v>
      </c>
      <c r="B14" s="18">
        <v>1209</v>
      </c>
      <c r="C14" s="18">
        <v>5415</v>
      </c>
      <c r="D14" s="19">
        <v>1879966.56</v>
      </c>
      <c r="E14" s="1"/>
      <c r="F14" s="1"/>
      <c r="G14" s="1"/>
      <c r="H14" s="1"/>
      <c r="I14" s="18" t="s">
        <v>16</v>
      </c>
      <c r="J14" s="18">
        <v>2948</v>
      </c>
      <c r="K14" s="18">
        <v>13071</v>
      </c>
      <c r="L14" s="19">
        <v>5391048.3899999997</v>
      </c>
      <c r="M14" s="1"/>
      <c r="N14" s="1"/>
      <c r="O14" s="1"/>
      <c r="P14" s="1"/>
    </row>
    <row r="15" spans="1:16" ht="14.4">
      <c r="A15" s="18" t="s">
        <v>17</v>
      </c>
      <c r="B15" s="18">
        <v>1695</v>
      </c>
      <c r="C15" s="18">
        <v>7774</v>
      </c>
      <c r="D15" s="19">
        <v>2873594.61</v>
      </c>
      <c r="E15" s="1"/>
      <c r="F15" s="1"/>
      <c r="G15" s="1"/>
      <c r="H15" s="1"/>
      <c r="I15" s="18" t="s">
        <v>18</v>
      </c>
      <c r="J15" s="18">
        <v>2724</v>
      </c>
      <c r="K15" s="18">
        <v>12253</v>
      </c>
      <c r="L15" s="19">
        <v>4739926.5999999996</v>
      </c>
      <c r="M15" s="1"/>
      <c r="N15" s="1"/>
      <c r="O15" s="1"/>
      <c r="P15" s="1"/>
    </row>
    <row r="16" spans="1:16" ht="14.4">
      <c r="A16" s="18" t="s">
        <v>19</v>
      </c>
      <c r="B16" s="18">
        <v>1948</v>
      </c>
      <c r="C16" s="18">
        <v>8677</v>
      </c>
      <c r="D16" s="19">
        <v>3133334.42</v>
      </c>
      <c r="E16" s="1"/>
      <c r="F16" s="1"/>
      <c r="G16" s="1"/>
      <c r="H16" s="1"/>
      <c r="I16" s="18" t="s">
        <v>20</v>
      </c>
      <c r="J16" s="18">
        <v>3329</v>
      </c>
      <c r="K16" s="18">
        <v>15092</v>
      </c>
      <c r="L16" s="19">
        <v>4529445.4000000004</v>
      </c>
      <c r="M16" s="1"/>
      <c r="N16" s="1"/>
      <c r="O16" s="1"/>
      <c r="P16" s="1"/>
    </row>
    <row r="17" spans="1:16" ht="14.4">
      <c r="A17" s="18" t="s">
        <v>21</v>
      </c>
      <c r="B17" s="18">
        <v>2213</v>
      </c>
      <c r="C17" s="18">
        <v>9869</v>
      </c>
      <c r="D17" s="19">
        <v>3579357.62</v>
      </c>
      <c r="E17" s="1"/>
      <c r="F17" s="1"/>
      <c r="G17" s="1"/>
      <c r="H17" s="1"/>
      <c r="I17" s="18" t="s">
        <v>22</v>
      </c>
      <c r="J17" s="18">
        <v>2515</v>
      </c>
      <c r="K17" s="18">
        <v>11312</v>
      </c>
      <c r="L17" s="19">
        <v>4301327.3499999996</v>
      </c>
      <c r="M17" s="1"/>
      <c r="N17" s="1"/>
      <c r="O17" s="1"/>
      <c r="P17" s="1"/>
    </row>
    <row r="18" spans="1:16" ht="14.4">
      <c r="A18" s="18" t="s">
        <v>23</v>
      </c>
      <c r="B18" s="18">
        <v>2580</v>
      </c>
      <c r="C18" s="18">
        <v>11610</v>
      </c>
      <c r="D18" s="19">
        <v>4143188.78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>
      <c r="A20" s="23" t="s">
        <v>24</v>
      </c>
      <c r="B20" s="23" t="s">
        <v>24</v>
      </c>
      <c r="C20" s="23" t="s">
        <v>24</v>
      </c>
      <c r="D20" s="23" t="s">
        <v>24</v>
      </c>
      <c r="E20" s="23" t="s">
        <v>24</v>
      </c>
      <c r="F20" s="23" t="s">
        <v>24</v>
      </c>
      <c r="G20" s="23" t="s">
        <v>24</v>
      </c>
      <c r="H20" s="1"/>
      <c r="I20" s="23" t="s">
        <v>25</v>
      </c>
      <c r="J20" s="23" t="s">
        <v>25</v>
      </c>
      <c r="K20" s="23" t="s">
        <v>25</v>
      </c>
      <c r="L20" s="23" t="s">
        <v>25</v>
      </c>
      <c r="M20" s="23" t="s">
        <v>25</v>
      </c>
      <c r="N20" s="23" t="s">
        <v>25</v>
      </c>
      <c r="O20" s="23" t="s">
        <v>25</v>
      </c>
      <c r="P20" s="23" t="s">
        <v>25</v>
      </c>
    </row>
    <row r="21" spans="1:16" ht="14.4">
      <c r="A21" s="17" t="s">
        <v>26</v>
      </c>
      <c r="B21" s="17" t="s">
        <v>27</v>
      </c>
      <c r="C21" s="17" t="s">
        <v>28</v>
      </c>
      <c r="D21" s="17" t="s">
        <v>29</v>
      </c>
      <c r="E21" s="1"/>
      <c r="F21" s="1"/>
      <c r="G21" s="1"/>
      <c r="H21" s="1"/>
      <c r="I21" s="17" t="s">
        <v>30</v>
      </c>
      <c r="J21" s="17" t="s">
        <v>31</v>
      </c>
      <c r="K21" s="17" t="s">
        <v>10</v>
      </c>
      <c r="L21" s="17" t="s">
        <v>26</v>
      </c>
      <c r="M21" s="17" t="s">
        <v>32</v>
      </c>
      <c r="N21" s="17" t="s">
        <v>33</v>
      </c>
      <c r="O21" s="17" t="s">
        <v>29</v>
      </c>
      <c r="P21" s="1"/>
    </row>
    <row r="22" spans="1:16" ht="14.4">
      <c r="A22" s="18" t="s">
        <v>34</v>
      </c>
      <c r="B22" s="18">
        <v>58</v>
      </c>
      <c r="C22" s="18">
        <v>293</v>
      </c>
      <c r="D22" s="19">
        <v>56093.62</v>
      </c>
      <c r="E22" s="1"/>
      <c r="F22" s="1"/>
      <c r="G22" s="1"/>
      <c r="H22" s="1"/>
      <c r="I22" s="18" t="s">
        <v>35</v>
      </c>
      <c r="J22" s="18" t="s">
        <v>36</v>
      </c>
      <c r="K22" s="18" t="s">
        <v>22</v>
      </c>
      <c r="L22" s="18" t="s">
        <v>37</v>
      </c>
      <c r="M22" s="18">
        <v>59</v>
      </c>
      <c r="N22" s="18">
        <v>411</v>
      </c>
      <c r="O22" s="19">
        <v>86640.48</v>
      </c>
      <c r="P22" s="1"/>
    </row>
    <row r="23" spans="1:16" ht="14.4">
      <c r="A23" s="18" t="s">
        <v>38</v>
      </c>
      <c r="B23" s="18">
        <v>12</v>
      </c>
      <c r="C23" s="18">
        <v>325</v>
      </c>
      <c r="D23" s="19">
        <v>53166.86</v>
      </c>
      <c r="E23" s="1"/>
      <c r="F23" s="1"/>
      <c r="G23" s="1"/>
      <c r="H23" s="1"/>
      <c r="I23" s="18" t="s">
        <v>39</v>
      </c>
      <c r="J23" s="18" t="s">
        <v>40</v>
      </c>
      <c r="K23" s="18" t="s">
        <v>41</v>
      </c>
      <c r="L23" s="18" t="s">
        <v>38</v>
      </c>
      <c r="M23" s="18">
        <v>26</v>
      </c>
      <c r="N23" s="18">
        <v>256</v>
      </c>
      <c r="O23" s="19">
        <v>51959.72</v>
      </c>
      <c r="P23" s="1"/>
    </row>
    <row r="24" spans="1:16" ht="14.4">
      <c r="A24" s="18" t="s">
        <v>37</v>
      </c>
      <c r="B24" s="18">
        <v>11</v>
      </c>
      <c r="C24" s="18">
        <v>1023</v>
      </c>
      <c r="D24" s="19">
        <v>120608.15</v>
      </c>
      <c r="E24" s="1"/>
      <c r="F24" s="1"/>
      <c r="G24" s="1"/>
      <c r="H24" s="1"/>
      <c r="I24" s="18" t="s">
        <v>42</v>
      </c>
      <c r="J24" s="18" t="s">
        <v>43</v>
      </c>
      <c r="K24" s="18" t="s">
        <v>22</v>
      </c>
      <c r="L24" s="18" t="s">
        <v>44</v>
      </c>
      <c r="M24" s="18">
        <v>81</v>
      </c>
      <c r="N24" s="18">
        <v>554</v>
      </c>
      <c r="O24" s="19">
        <v>40962</v>
      </c>
      <c r="P24" s="1"/>
    </row>
    <row r="25" spans="1:16" ht="14.4">
      <c r="A25" s="18" t="s">
        <v>44</v>
      </c>
      <c r="B25" s="18">
        <v>18</v>
      </c>
      <c r="C25" s="18">
        <v>554</v>
      </c>
      <c r="D25" s="19">
        <v>40962</v>
      </c>
      <c r="E25" s="1"/>
      <c r="F25" s="1"/>
      <c r="G25" s="1"/>
      <c r="H25" s="1"/>
      <c r="I25" s="18" t="s">
        <v>45</v>
      </c>
      <c r="J25" s="18" t="s">
        <v>46</v>
      </c>
      <c r="K25" s="18" t="s">
        <v>22</v>
      </c>
      <c r="L25" s="18" t="s">
        <v>37</v>
      </c>
      <c r="M25" s="18">
        <v>52</v>
      </c>
      <c r="N25" s="18">
        <v>403</v>
      </c>
      <c r="O25" s="19">
        <v>33967.67</v>
      </c>
      <c r="P25" s="1"/>
    </row>
    <row r="26" spans="1:16" ht="14.4">
      <c r="A26" s="18" t="s">
        <v>47</v>
      </c>
      <c r="B26" s="18">
        <v>292</v>
      </c>
      <c r="C26" s="18">
        <v>68754</v>
      </c>
      <c r="D26" s="19">
        <v>436890.13</v>
      </c>
      <c r="E26" s="1"/>
      <c r="F26" s="1"/>
      <c r="G26" s="1"/>
      <c r="H26" s="1"/>
      <c r="I26" s="18" t="s">
        <v>48</v>
      </c>
      <c r="J26" s="18" t="s">
        <v>49</v>
      </c>
      <c r="K26" s="18" t="s">
        <v>22</v>
      </c>
      <c r="L26" s="18" t="s">
        <v>34</v>
      </c>
      <c r="M26" s="18">
        <v>-151</v>
      </c>
      <c r="N26" s="18">
        <v>134</v>
      </c>
      <c r="O26" s="19">
        <v>32248.44</v>
      </c>
      <c r="P26" s="1"/>
    </row>
    <row r="27" spans="1:1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24" t="s">
        <v>50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</sheetData>
  <mergeCells count="7">
    <mergeCell ref="A29:P32"/>
    <mergeCell ref="A1:P2"/>
    <mergeCell ref="A3:P3"/>
    <mergeCell ref="A10:G10"/>
    <mergeCell ref="I10:P10"/>
    <mergeCell ref="A20:G20"/>
    <mergeCell ref="I20:P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/>
  </sheetViews>
  <sheetFormatPr defaultRowHeight="13.8"/>
  <sheetData>
    <row r="1" spans="1:15">
      <c r="A1" s="14" t="s">
        <v>8</v>
      </c>
      <c r="B1" s="14" t="s">
        <v>3</v>
      </c>
      <c r="C1" s="14" t="s">
        <v>4</v>
      </c>
      <c r="D1" s="14" t="s">
        <v>9</v>
      </c>
      <c r="F1" s="14" t="s">
        <v>10</v>
      </c>
      <c r="G1" s="14" t="s">
        <v>3</v>
      </c>
      <c r="H1" s="14" t="s">
        <v>4</v>
      </c>
      <c r="I1" s="14" t="s">
        <v>9</v>
      </c>
      <c r="K1" s="14" t="s">
        <v>8</v>
      </c>
      <c r="L1" s="14" t="s">
        <v>9</v>
      </c>
      <c r="N1" s="14" t="s">
        <v>10</v>
      </c>
      <c r="O1" s="14" t="s">
        <v>9</v>
      </c>
    </row>
    <row r="2" spans="1:15">
      <c r="A2" s="15" t="s">
        <v>11</v>
      </c>
      <c r="B2" s="15">
        <v>171</v>
      </c>
      <c r="C2" s="15">
        <v>760</v>
      </c>
      <c r="D2" s="16">
        <v>231683.87</v>
      </c>
      <c r="F2" s="15" t="s">
        <v>12</v>
      </c>
      <c r="G2" s="15">
        <v>3038</v>
      </c>
      <c r="H2" s="15">
        <v>13710</v>
      </c>
      <c r="I2" s="16">
        <v>7478690.1500000004</v>
      </c>
      <c r="K2" s="15" t="s">
        <v>11</v>
      </c>
      <c r="L2" s="16">
        <v>231683.87</v>
      </c>
      <c r="N2" s="15" t="s">
        <v>12</v>
      </c>
      <c r="O2" s="16">
        <v>7478690.1500000004</v>
      </c>
    </row>
    <row r="3" spans="1:15">
      <c r="A3" s="15" t="s">
        <v>13</v>
      </c>
      <c r="B3" s="15">
        <v>946</v>
      </c>
      <c r="C3" s="15">
        <v>4302</v>
      </c>
      <c r="D3" s="16">
        <v>1469785.17</v>
      </c>
      <c r="F3" s="15" t="s">
        <v>14</v>
      </c>
      <c r="G3" s="15">
        <v>3710</v>
      </c>
      <c r="H3" s="15">
        <v>16730</v>
      </c>
      <c r="I3" s="16">
        <v>5873595.6299999999</v>
      </c>
      <c r="K3" s="15" t="s">
        <v>13</v>
      </c>
      <c r="L3" s="16">
        <v>1469785.17</v>
      </c>
      <c r="N3" s="15" t="s">
        <v>14</v>
      </c>
      <c r="O3" s="16">
        <v>5873595.6299999999</v>
      </c>
    </row>
    <row r="4" spans="1:15">
      <c r="A4" s="15" t="s">
        <v>15</v>
      </c>
      <c r="B4" s="15">
        <v>1209</v>
      </c>
      <c r="C4" s="15">
        <v>5415</v>
      </c>
      <c r="D4" s="16">
        <v>1879966.56</v>
      </c>
      <c r="F4" s="15" t="s">
        <v>16</v>
      </c>
      <c r="G4" s="15">
        <v>2948</v>
      </c>
      <c r="H4" s="15">
        <v>13071</v>
      </c>
      <c r="I4" s="16">
        <v>5391048.3899999997</v>
      </c>
      <c r="K4" s="15" t="s">
        <v>15</v>
      </c>
      <c r="L4" s="16">
        <v>1879966.56</v>
      </c>
      <c r="N4" s="15" t="s">
        <v>16</v>
      </c>
      <c r="O4" s="16">
        <v>5391048.3899999997</v>
      </c>
    </row>
    <row r="5" spans="1:15">
      <c r="A5" s="15" t="s">
        <v>17</v>
      </c>
      <c r="B5" s="15">
        <v>1695</v>
      </c>
      <c r="C5" s="15">
        <v>7774</v>
      </c>
      <c r="D5" s="16">
        <v>2873594.61</v>
      </c>
      <c r="F5" s="15" t="s">
        <v>18</v>
      </c>
      <c r="G5" s="15">
        <v>2724</v>
      </c>
      <c r="H5" s="15">
        <v>12253</v>
      </c>
      <c r="I5" s="16">
        <v>4739926.5999999996</v>
      </c>
      <c r="K5" s="15" t="s">
        <v>17</v>
      </c>
      <c r="L5" s="16">
        <v>2873594.61</v>
      </c>
      <c r="N5" s="15" t="s">
        <v>18</v>
      </c>
      <c r="O5" s="16">
        <v>4739926.5999999996</v>
      </c>
    </row>
    <row r="6" spans="1:15">
      <c r="A6" s="15" t="s">
        <v>19</v>
      </c>
      <c r="B6" s="15">
        <v>1948</v>
      </c>
      <c r="C6" s="15">
        <v>8677</v>
      </c>
      <c r="D6" s="16">
        <v>3133334.42</v>
      </c>
      <c r="F6" s="15" t="s">
        <v>20</v>
      </c>
      <c r="G6" s="15">
        <v>3329</v>
      </c>
      <c r="H6" s="15">
        <v>15092</v>
      </c>
      <c r="I6" s="16">
        <v>4529445.4000000004</v>
      </c>
      <c r="K6" s="15" t="s">
        <v>19</v>
      </c>
      <c r="L6" s="16">
        <v>3133334.42</v>
      </c>
      <c r="N6" s="15" t="s">
        <v>20</v>
      </c>
      <c r="O6" s="16">
        <v>4529445.4000000004</v>
      </c>
    </row>
    <row r="7" spans="1:15">
      <c r="A7" s="15" t="s">
        <v>21</v>
      </c>
      <c r="B7" s="15">
        <v>2213</v>
      </c>
      <c r="C7" s="15">
        <v>9869</v>
      </c>
      <c r="D7" s="16">
        <v>3579357.62</v>
      </c>
      <c r="F7" s="15" t="s">
        <v>22</v>
      </c>
      <c r="G7" s="15">
        <v>2515</v>
      </c>
      <c r="H7" s="15">
        <v>11312</v>
      </c>
      <c r="I7" s="16">
        <v>4301327.3499999996</v>
      </c>
      <c r="K7" s="15" t="s">
        <v>21</v>
      </c>
      <c r="L7" s="16">
        <v>3579357.62</v>
      </c>
      <c r="N7" s="15" t="s">
        <v>22</v>
      </c>
      <c r="O7" s="16">
        <v>4301327.3499999996</v>
      </c>
    </row>
    <row r="8" spans="1:15">
      <c r="A8" s="15" t="s">
        <v>23</v>
      </c>
      <c r="B8" s="15">
        <v>2580</v>
      </c>
      <c r="C8" s="15">
        <v>11610</v>
      </c>
      <c r="D8" s="16">
        <v>4143188.78</v>
      </c>
      <c r="F8" s="15" t="s">
        <v>41</v>
      </c>
      <c r="G8" s="15">
        <v>3090</v>
      </c>
      <c r="H8" s="15">
        <v>14058</v>
      </c>
      <c r="I8" s="16">
        <v>4088736.31</v>
      </c>
      <c r="K8" s="15" t="s">
        <v>23</v>
      </c>
      <c r="L8" s="16">
        <v>4143188.78</v>
      </c>
      <c r="N8" s="15" t="s">
        <v>41</v>
      </c>
      <c r="O8" s="16">
        <v>4088736.31</v>
      </c>
    </row>
    <row r="9" spans="1:15">
      <c r="A9" s="15" t="s">
        <v>51</v>
      </c>
      <c r="B9" s="15">
        <v>2770</v>
      </c>
      <c r="C9" s="15">
        <v>12439</v>
      </c>
      <c r="D9" s="16">
        <v>4422380.34</v>
      </c>
      <c r="F9" s="15" t="s">
        <v>52</v>
      </c>
      <c r="G9" s="15">
        <v>2795</v>
      </c>
      <c r="H9" s="15">
        <v>12501</v>
      </c>
      <c r="I9" s="16">
        <v>3964750.3</v>
      </c>
      <c r="K9" s="15" t="s">
        <v>51</v>
      </c>
      <c r="L9" s="16">
        <v>4422380.34</v>
      </c>
      <c r="N9" s="15" t="s">
        <v>52</v>
      </c>
      <c r="O9" s="16">
        <v>3964750.3</v>
      </c>
    </row>
    <row r="10" spans="1:15">
      <c r="A10" s="15" t="s">
        <v>53</v>
      </c>
      <c r="B10" s="15">
        <v>3216</v>
      </c>
      <c r="C10" s="15">
        <v>14685</v>
      </c>
      <c r="D10" s="16">
        <v>5219926.71</v>
      </c>
      <c r="F10" s="15" t="s">
        <v>54</v>
      </c>
      <c r="G10" s="15">
        <v>3065</v>
      </c>
      <c r="H10" s="15">
        <v>13503</v>
      </c>
      <c r="I10" s="16">
        <v>3850783.98</v>
      </c>
      <c r="K10" s="15" t="s">
        <v>53</v>
      </c>
      <c r="L10" s="16">
        <v>5219926.71</v>
      </c>
      <c r="N10" s="15" t="s">
        <v>54</v>
      </c>
      <c r="O10" s="16">
        <v>3850783.98</v>
      </c>
    </row>
    <row r="11" spans="1:15">
      <c r="A11" s="15" t="s">
        <v>55</v>
      </c>
      <c r="B11" s="15">
        <v>3506</v>
      </c>
      <c r="C11" s="15">
        <v>15589</v>
      </c>
      <c r="D11" s="16">
        <v>5590594.9199999999</v>
      </c>
      <c r="F11" s="15" t="s">
        <v>56</v>
      </c>
      <c r="G11" s="15">
        <v>2786</v>
      </c>
      <c r="H11" s="15">
        <v>12542</v>
      </c>
      <c r="I11" s="16">
        <v>3704831.4</v>
      </c>
      <c r="K11" s="15" t="s">
        <v>55</v>
      </c>
      <c r="L11" s="16">
        <v>5590594.9199999999</v>
      </c>
      <c r="N11" s="15" t="s">
        <v>56</v>
      </c>
      <c r="O11" s="16">
        <v>3704831.4</v>
      </c>
    </row>
    <row r="12" spans="1:15">
      <c r="A12" s="15" t="s">
        <v>57</v>
      </c>
      <c r="B12" s="15">
        <v>3297</v>
      </c>
      <c r="C12" s="15">
        <v>14769</v>
      </c>
      <c r="D12" s="16">
        <v>5244437.72</v>
      </c>
      <c r="K12" s="15" t="s">
        <v>57</v>
      </c>
      <c r="L12" s="16">
        <v>5244437.72</v>
      </c>
    </row>
    <row r="13" spans="1:15">
      <c r="A13" s="15" t="s">
        <v>58</v>
      </c>
      <c r="B13" s="15">
        <v>3634</v>
      </c>
      <c r="C13" s="15">
        <v>16182</v>
      </c>
      <c r="D13" s="16">
        <v>5708709.3899999997</v>
      </c>
      <c r="K13" s="15" t="s">
        <v>58</v>
      </c>
      <c r="L13" s="16">
        <v>5708709.3899999997</v>
      </c>
    </row>
    <row r="14" spans="1:15">
      <c r="A14" s="15" t="s">
        <v>59</v>
      </c>
      <c r="B14" s="15">
        <v>2815</v>
      </c>
      <c r="C14" s="15">
        <v>12701</v>
      </c>
      <c r="D14" s="16">
        <v>4426175.4000000004</v>
      </c>
      <c r="K14" s="15" t="s">
        <v>59</v>
      </c>
      <c r="L14" s="16">
        <v>4426175.4000000004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showGridLines="0" workbookViewId="0"/>
  </sheetViews>
  <sheetFormatPr defaultRowHeight="13.8"/>
  <sheetData>
    <row r="1" spans="1:12">
      <c r="A1" s="14" t="s">
        <v>26</v>
      </c>
      <c r="B1" s="14" t="s">
        <v>27</v>
      </c>
      <c r="C1" s="14" t="s">
        <v>28</v>
      </c>
      <c r="D1" s="14" t="s">
        <v>29</v>
      </c>
      <c r="F1" s="14" t="s">
        <v>30</v>
      </c>
      <c r="G1" s="14" t="s">
        <v>31</v>
      </c>
      <c r="H1" s="14" t="s">
        <v>10</v>
      </c>
      <c r="I1" s="14" t="s">
        <v>26</v>
      </c>
      <c r="J1" s="14" t="s">
        <v>32</v>
      </c>
      <c r="K1" s="14" t="s">
        <v>33</v>
      </c>
      <c r="L1" s="14" t="s">
        <v>29</v>
      </c>
    </row>
    <row r="2" spans="1:12">
      <c r="A2" s="15" t="s">
        <v>34</v>
      </c>
      <c r="B2" s="15">
        <v>58</v>
      </c>
      <c r="C2" s="15">
        <v>293</v>
      </c>
      <c r="D2" s="16">
        <v>56093.62</v>
      </c>
      <c r="F2" s="15" t="s">
        <v>35</v>
      </c>
      <c r="G2" s="15" t="s">
        <v>36</v>
      </c>
      <c r="H2" s="15" t="s">
        <v>22</v>
      </c>
      <c r="I2" s="15" t="s">
        <v>37</v>
      </c>
      <c r="J2" s="15">
        <v>59</v>
      </c>
      <c r="K2" s="15">
        <v>411</v>
      </c>
      <c r="L2" s="16">
        <v>86640.48</v>
      </c>
    </row>
    <row r="3" spans="1:12">
      <c r="A3" s="15" t="s">
        <v>38</v>
      </c>
      <c r="B3" s="15">
        <v>12</v>
      </c>
      <c r="C3" s="15">
        <v>325</v>
      </c>
      <c r="D3" s="16">
        <v>53166.86</v>
      </c>
      <c r="F3" s="15" t="s">
        <v>39</v>
      </c>
      <c r="G3" s="15" t="s">
        <v>40</v>
      </c>
      <c r="H3" s="15" t="s">
        <v>41</v>
      </c>
      <c r="I3" s="15" t="s">
        <v>38</v>
      </c>
      <c r="J3" s="15">
        <v>26</v>
      </c>
      <c r="K3" s="15">
        <v>256</v>
      </c>
      <c r="L3" s="16">
        <v>51959.72</v>
      </c>
    </row>
    <row r="4" spans="1:12">
      <c r="A4" s="15" t="s">
        <v>37</v>
      </c>
      <c r="B4" s="15">
        <v>11</v>
      </c>
      <c r="C4" s="15">
        <v>1023</v>
      </c>
      <c r="D4" s="16">
        <v>120608.15</v>
      </c>
      <c r="F4" s="15" t="s">
        <v>42</v>
      </c>
      <c r="G4" s="15" t="s">
        <v>43</v>
      </c>
      <c r="H4" s="15" t="s">
        <v>22</v>
      </c>
      <c r="I4" s="15" t="s">
        <v>44</v>
      </c>
      <c r="J4" s="15">
        <v>81</v>
      </c>
      <c r="K4" s="15">
        <v>554</v>
      </c>
      <c r="L4" s="16">
        <v>40962</v>
      </c>
    </row>
    <row r="5" spans="1:12">
      <c r="A5" s="15" t="s">
        <v>44</v>
      </c>
      <c r="B5" s="15">
        <v>18</v>
      </c>
      <c r="C5" s="15">
        <v>554</v>
      </c>
      <c r="D5" s="16">
        <v>40962</v>
      </c>
      <c r="F5" s="15" t="s">
        <v>45</v>
      </c>
      <c r="G5" s="15" t="s">
        <v>46</v>
      </c>
      <c r="H5" s="15" t="s">
        <v>22</v>
      </c>
      <c r="I5" s="15" t="s">
        <v>37</v>
      </c>
      <c r="J5" s="15">
        <v>52</v>
      </c>
      <c r="K5" s="15">
        <v>403</v>
      </c>
      <c r="L5" s="16">
        <v>33967.67</v>
      </c>
    </row>
    <row r="6" spans="1:12">
      <c r="A6" s="15" t="s">
        <v>47</v>
      </c>
      <c r="B6" s="15">
        <v>292</v>
      </c>
      <c r="C6" s="15">
        <v>68754</v>
      </c>
      <c r="D6" s="16">
        <v>436890.13</v>
      </c>
      <c r="F6" s="15" t="s">
        <v>48</v>
      </c>
      <c r="G6" s="15" t="s">
        <v>49</v>
      </c>
      <c r="H6" s="15" t="s">
        <v>22</v>
      </c>
      <c r="I6" s="15" t="s">
        <v>34</v>
      </c>
      <c r="J6" s="15">
        <v>-151</v>
      </c>
      <c r="K6" s="15">
        <v>134</v>
      </c>
      <c r="L6" s="16">
        <v>32248.44</v>
      </c>
    </row>
    <row r="7" spans="1:12">
      <c r="F7" s="15" t="s">
        <v>60</v>
      </c>
      <c r="G7" s="15" t="s">
        <v>43</v>
      </c>
      <c r="H7" s="15" t="s">
        <v>22</v>
      </c>
      <c r="I7" s="15" t="s">
        <v>34</v>
      </c>
      <c r="J7" s="15">
        <v>-191</v>
      </c>
      <c r="K7" s="15">
        <v>77</v>
      </c>
      <c r="L7" s="16">
        <v>13617.45</v>
      </c>
    </row>
    <row r="8" spans="1:12">
      <c r="F8" s="15" t="s">
        <v>61</v>
      </c>
      <c r="G8" s="15" t="s">
        <v>62</v>
      </c>
      <c r="H8" s="15" t="s">
        <v>22</v>
      </c>
      <c r="I8" s="15" t="s">
        <v>34</v>
      </c>
      <c r="J8" s="15">
        <v>-8</v>
      </c>
      <c r="K8" s="15">
        <v>25</v>
      </c>
      <c r="L8" s="16">
        <v>8267.5</v>
      </c>
    </row>
    <row r="9" spans="1:12">
      <c r="F9" s="15" t="s">
        <v>63</v>
      </c>
      <c r="G9" s="15" t="s">
        <v>64</v>
      </c>
      <c r="H9" s="15" t="s">
        <v>52</v>
      </c>
      <c r="I9" s="15" t="s">
        <v>34</v>
      </c>
      <c r="J9" s="15">
        <v>-118</v>
      </c>
      <c r="K9" s="15">
        <v>57</v>
      </c>
      <c r="L9" s="16">
        <v>1960.23</v>
      </c>
    </row>
    <row r="10" spans="1:12">
      <c r="F10" s="15" t="s">
        <v>65</v>
      </c>
      <c r="G10" s="15" t="s">
        <v>66</v>
      </c>
      <c r="H10" s="15" t="s">
        <v>22</v>
      </c>
      <c r="I10" s="15" t="s">
        <v>38</v>
      </c>
      <c r="J10" s="15">
        <v>4</v>
      </c>
      <c r="K10" s="15">
        <v>69</v>
      </c>
      <c r="L10" s="16">
        <v>1207.1400000000001</v>
      </c>
    </row>
    <row r="11" spans="1:12">
      <c r="F11" s="15" t="s">
        <v>67</v>
      </c>
      <c r="G11" s="15" t="s">
        <v>68</v>
      </c>
      <c r="H11" s="15" t="s">
        <v>14</v>
      </c>
      <c r="I11" s="15" t="s">
        <v>34</v>
      </c>
      <c r="J11" s="15">
        <v>-93</v>
      </c>
      <c r="K11" s="15">
        <v>0</v>
      </c>
      <c r="L11" s="16">
        <v>0</v>
      </c>
    </row>
    <row r="12" spans="1:12">
      <c r="F12" s="15" t="s">
        <v>69</v>
      </c>
      <c r="G12" s="15" t="s">
        <v>70</v>
      </c>
      <c r="H12" s="15" t="s">
        <v>20</v>
      </c>
      <c r="I12" s="15" t="s">
        <v>34</v>
      </c>
      <c r="J12" s="15">
        <v>-60</v>
      </c>
      <c r="K12" s="15">
        <v>0</v>
      </c>
      <c r="L12" s="16">
        <v>0</v>
      </c>
    </row>
    <row r="13" spans="1:12">
      <c r="F13" s="15" t="s">
        <v>71</v>
      </c>
      <c r="G13" s="15" t="s">
        <v>72</v>
      </c>
      <c r="H13" s="15" t="s">
        <v>52</v>
      </c>
      <c r="I13" s="15" t="s">
        <v>34</v>
      </c>
      <c r="J13" s="15">
        <v>-77</v>
      </c>
      <c r="K13" s="15">
        <v>0</v>
      </c>
      <c r="L13" s="16">
        <v>0</v>
      </c>
    </row>
    <row r="14" spans="1:12">
      <c r="F14" s="15" t="s">
        <v>73</v>
      </c>
      <c r="G14" s="15" t="s">
        <v>74</v>
      </c>
      <c r="H14" s="15" t="s">
        <v>18</v>
      </c>
      <c r="I14" s="15" t="s">
        <v>34</v>
      </c>
      <c r="J14" s="15">
        <v>-14</v>
      </c>
      <c r="K14" s="15">
        <v>0</v>
      </c>
      <c r="L14" s="16">
        <v>0</v>
      </c>
    </row>
    <row r="15" spans="1:12">
      <c r="F15" s="15" t="s">
        <v>75</v>
      </c>
      <c r="G15" s="15" t="s">
        <v>76</v>
      </c>
      <c r="H15" s="15" t="s">
        <v>16</v>
      </c>
      <c r="I15" s="15" t="s">
        <v>34</v>
      </c>
      <c r="J15" s="15">
        <v>-88</v>
      </c>
      <c r="K15" s="15">
        <v>0</v>
      </c>
      <c r="L15" s="16">
        <v>0</v>
      </c>
    </row>
    <row r="16" spans="1:12">
      <c r="F16" s="15" t="s">
        <v>77</v>
      </c>
      <c r="G16" s="15" t="s">
        <v>78</v>
      </c>
      <c r="H16" s="15" t="s">
        <v>41</v>
      </c>
      <c r="I16" s="15" t="s">
        <v>34</v>
      </c>
      <c r="J16" s="15">
        <v>-81</v>
      </c>
      <c r="K16" s="15">
        <v>0</v>
      </c>
      <c r="L16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/>
  </sheetViews>
  <sheetFormatPr defaultRowHeight="13.8"/>
  <sheetData>
    <row r="1" spans="1:8">
      <c r="A1" s="14" t="s">
        <v>79</v>
      </c>
      <c r="B1" s="14" t="s">
        <v>80</v>
      </c>
      <c r="C1" s="14" t="s">
        <v>10</v>
      </c>
      <c r="D1" s="14" t="s">
        <v>81</v>
      </c>
      <c r="E1" s="14" t="s">
        <v>3</v>
      </c>
      <c r="F1" s="14" t="s">
        <v>4</v>
      </c>
      <c r="G1" s="14" t="s">
        <v>9</v>
      </c>
      <c r="H1" s="14" t="s">
        <v>82</v>
      </c>
    </row>
    <row r="2" spans="1:8">
      <c r="A2" s="15" t="s">
        <v>83</v>
      </c>
      <c r="B2" s="15" t="s">
        <v>84</v>
      </c>
      <c r="C2" s="15" t="s">
        <v>16</v>
      </c>
      <c r="D2" s="15" t="s">
        <v>85</v>
      </c>
      <c r="E2" s="15">
        <v>442</v>
      </c>
      <c r="F2" s="15">
        <v>1920</v>
      </c>
      <c r="G2" s="16">
        <v>1337218.46</v>
      </c>
      <c r="H2" s="16">
        <v>3025.38</v>
      </c>
    </row>
    <row r="3" spans="1:8">
      <c r="A3" s="15" t="s">
        <v>86</v>
      </c>
      <c r="B3" s="15" t="s">
        <v>87</v>
      </c>
      <c r="C3" s="15" t="s">
        <v>54</v>
      </c>
      <c r="D3" s="15" t="s">
        <v>88</v>
      </c>
      <c r="E3" s="15">
        <v>394</v>
      </c>
      <c r="F3" s="15">
        <v>1789</v>
      </c>
      <c r="G3" s="16">
        <v>1312232.1299999999</v>
      </c>
      <c r="H3" s="16">
        <v>3330.54</v>
      </c>
    </row>
    <row r="4" spans="1:8">
      <c r="A4" s="15" t="s">
        <v>89</v>
      </c>
      <c r="B4" s="15" t="s">
        <v>90</v>
      </c>
      <c r="C4" s="15" t="s">
        <v>12</v>
      </c>
      <c r="D4" s="15" t="s">
        <v>91</v>
      </c>
      <c r="E4" s="15">
        <v>393</v>
      </c>
      <c r="F4" s="15">
        <v>1779</v>
      </c>
      <c r="G4" s="16">
        <v>1209636.29</v>
      </c>
      <c r="H4" s="16">
        <v>3077.95</v>
      </c>
    </row>
    <row r="5" spans="1:8">
      <c r="A5" s="15" t="s">
        <v>92</v>
      </c>
      <c r="B5" s="15" t="s">
        <v>93</v>
      </c>
      <c r="C5" s="15" t="s">
        <v>20</v>
      </c>
      <c r="D5" s="15" t="s">
        <v>94</v>
      </c>
      <c r="E5" s="15">
        <v>452</v>
      </c>
      <c r="F5" s="15">
        <v>2092</v>
      </c>
      <c r="G5" s="16">
        <v>1152288.1000000001</v>
      </c>
      <c r="H5" s="16">
        <v>2549.31</v>
      </c>
    </row>
    <row r="6" spans="1:8">
      <c r="A6" s="15" t="s">
        <v>95</v>
      </c>
      <c r="B6" s="15" t="s">
        <v>70</v>
      </c>
      <c r="C6" s="15" t="s">
        <v>20</v>
      </c>
      <c r="D6" s="15" t="s">
        <v>96</v>
      </c>
      <c r="E6" s="15">
        <v>456</v>
      </c>
      <c r="F6" s="15">
        <v>2037</v>
      </c>
      <c r="G6" s="16">
        <v>1088390.78</v>
      </c>
      <c r="H6" s="16">
        <v>2386.8200000000002</v>
      </c>
    </row>
    <row r="7" spans="1:8">
      <c r="A7" s="15" t="s">
        <v>97</v>
      </c>
      <c r="B7" s="15" t="s">
        <v>98</v>
      </c>
      <c r="C7" s="15" t="s">
        <v>12</v>
      </c>
      <c r="D7" s="15" t="s">
        <v>88</v>
      </c>
      <c r="E7" s="15">
        <v>329</v>
      </c>
      <c r="F7" s="15">
        <v>1445</v>
      </c>
      <c r="G7" s="16">
        <v>1082649.24</v>
      </c>
      <c r="H7" s="16">
        <v>3290.73</v>
      </c>
    </row>
    <row r="8" spans="1:8">
      <c r="A8" s="15" t="s">
        <v>99</v>
      </c>
      <c r="B8" s="15" t="s">
        <v>76</v>
      </c>
      <c r="C8" s="15" t="s">
        <v>16</v>
      </c>
      <c r="D8" s="15" t="s">
        <v>91</v>
      </c>
      <c r="E8" s="15">
        <v>417</v>
      </c>
      <c r="F8" s="15">
        <v>1877</v>
      </c>
      <c r="G8" s="16">
        <v>1023033.5</v>
      </c>
      <c r="H8" s="16">
        <v>2453.3200000000002</v>
      </c>
    </row>
    <row r="9" spans="1:8">
      <c r="A9" s="15" t="s">
        <v>100</v>
      </c>
      <c r="B9" s="15" t="s">
        <v>40</v>
      </c>
      <c r="C9" s="15" t="s">
        <v>41</v>
      </c>
      <c r="D9" s="15" t="s">
        <v>96</v>
      </c>
      <c r="E9" s="15">
        <v>366</v>
      </c>
      <c r="F9" s="15">
        <v>1662</v>
      </c>
      <c r="G9" s="16">
        <v>961647.59</v>
      </c>
      <c r="H9" s="16">
        <v>2627.45</v>
      </c>
    </row>
    <row r="10" spans="1:8">
      <c r="A10" s="15" t="s">
        <v>101</v>
      </c>
      <c r="B10" s="15" t="s">
        <v>102</v>
      </c>
      <c r="C10" s="15" t="s">
        <v>12</v>
      </c>
      <c r="D10" s="15" t="s">
        <v>103</v>
      </c>
      <c r="E10" s="15">
        <v>302</v>
      </c>
      <c r="F10" s="15">
        <v>1338</v>
      </c>
      <c r="G10" s="16">
        <v>961362.54</v>
      </c>
      <c r="H10" s="16">
        <v>3183.32</v>
      </c>
    </row>
    <row r="11" spans="1:8">
      <c r="A11" s="15" t="s">
        <v>104</v>
      </c>
      <c r="B11" s="15" t="s">
        <v>105</v>
      </c>
      <c r="C11" s="15" t="s">
        <v>14</v>
      </c>
      <c r="D11" s="15" t="s">
        <v>103</v>
      </c>
      <c r="E11" s="15">
        <v>525</v>
      </c>
      <c r="F11" s="15">
        <v>2411</v>
      </c>
      <c r="G11" s="16">
        <v>953182.16</v>
      </c>
      <c r="H11" s="16">
        <v>1815.59</v>
      </c>
    </row>
    <row r="12" spans="1:8">
      <c r="A12" s="15" t="s">
        <v>106</v>
      </c>
      <c r="B12" s="15" t="s">
        <v>107</v>
      </c>
      <c r="C12" s="15" t="s">
        <v>14</v>
      </c>
      <c r="D12" s="15" t="s">
        <v>85</v>
      </c>
      <c r="E12" s="15">
        <v>466</v>
      </c>
      <c r="F12" s="15">
        <v>2083</v>
      </c>
      <c r="G12" s="16">
        <v>905110.11</v>
      </c>
      <c r="H12" s="16">
        <v>1942.3</v>
      </c>
    </row>
    <row r="13" spans="1:8">
      <c r="A13" s="15" t="s">
        <v>108</v>
      </c>
      <c r="B13" s="15" t="s">
        <v>109</v>
      </c>
      <c r="C13" s="15" t="s">
        <v>52</v>
      </c>
      <c r="D13" s="15" t="s">
        <v>110</v>
      </c>
      <c r="E13" s="15">
        <v>300</v>
      </c>
      <c r="F13" s="15">
        <v>1361</v>
      </c>
      <c r="G13" s="16">
        <v>904935.35</v>
      </c>
      <c r="H13" s="16">
        <v>3016.45</v>
      </c>
    </row>
    <row r="14" spans="1:8">
      <c r="A14" s="15" t="s">
        <v>111</v>
      </c>
      <c r="B14" s="15" t="s">
        <v>112</v>
      </c>
      <c r="C14" s="15" t="s">
        <v>12</v>
      </c>
      <c r="D14" s="15" t="s">
        <v>91</v>
      </c>
      <c r="E14" s="15">
        <v>347</v>
      </c>
      <c r="F14" s="15">
        <v>1536</v>
      </c>
      <c r="G14" s="16">
        <v>867800.34</v>
      </c>
      <c r="H14" s="16">
        <v>2500.87</v>
      </c>
    </row>
    <row r="15" spans="1:8">
      <c r="A15" s="15" t="s">
        <v>113</v>
      </c>
      <c r="B15" s="15" t="s">
        <v>114</v>
      </c>
      <c r="C15" s="15" t="s">
        <v>41</v>
      </c>
      <c r="D15" s="15" t="s">
        <v>96</v>
      </c>
      <c r="E15" s="15">
        <v>285</v>
      </c>
      <c r="F15" s="15">
        <v>1317</v>
      </c>
      <c r="G15" s="16">
        <v>857323.61</v>
      </c>
      <c r="H15" s="16">
        <v>3008.15</v>
      </c>
    </row>
    <row r="16" spans="1:8">
      <c r="A16" s="15" t="s">
        <v>115</v>
      </c>
      <c r="B16" s="15" t="s">
        <v>72</v>
      </c>
      <c r="C16" s="15" t="s">
        <v>52</v>
      </c>
      <c r="D16" s="15" t="s">
        <v>94</v>
      </c>
      <c r="E16" s="15">
        <v>294</v>
      </c>
      <c r="F16" s="15">
        <v>1305</v>
      </c>
      <c r="G16" s="16">
        <v>820156.67</v>
      </c>
      <c r="H16" s="16">
        <v>2789.65</v>
      </c>
    </row>
    <row r="17" spans="1:8">
      <c r="A17" s="15" t="s">
        <v>116</v>
      </c>
      <c r="B17" s="15" t="s">
        <v>117</v>
      </c>
      <c r="C17" s="15" t="s">
        <v>12</v>
      </c>
      <c r="D17" s="15" t="s">
        <v>88</v>
      </c>
      <c r="E17" s="15">
        <v>387</v>
      </c>
      <c r="F17" s="15">
        <v>1812</v>
      </c>
      <c r="G17" s="16">
        <v>791940.55</v>
      </c>
      <c r="H17" s="16">
        <v>2046.36</v>
      </c>
    </row>
    <row r="18" spans="1:8">
      <c r="A18" s="15" t="s">
        <v>118</v>
      </c>
      <c r="B18" s="15" t="s">
        <v>119</v>
      </c>
      <c r="C18" s="15" t="s">
        <v>18</v>
      </c>
      <c r="D18" s="15" t="s">
        <v>120</v>
      </c>
      <c r="E18" s="15">
        <v>245</v>
      </c>
      <c r="F18" s="15">
        <v>1102</v>
      </c>
      <c r="G18" s="16">
        <v>760872.28</v>
      </c>
      <c r="H18" s="16">
        <v>3105.6</v>
      </c>
    </row>
    <row r="19" spans="1:8">
      <c r="A19" s="15" t="s">
        <v>121</v>
      </c>
      <c r="B19" s="15" t="s">
        <v>122</v>
      </c>
      <c r="C19" s="15" t="s">
        <v>14</v>
      </c>
      <c r="D19" s="15" t="s">
        <v>85</v>
      </c>
      <c r="E19" s="15">
        <v>418</v>
      </c>
      <c r="F19" s="15">
        <v>1942</v>
      </c>
      <c r="G19" s="16">
        <v>758753.98</v>
      </c>
      <c r="H19" s="16">
        <v>1815.2</v>
      </c>
    </row>
    <row r="20" spans="1:8">
      <c r="A20" s="15" t="s">
        <v>123</v>
      </c>
      <c r="B20" s="15" t="s">
        <v>124</v>
      </c>
      <c r="C20" s="15" t="s">
        <v>22</v>
      </c>
      <c r="D20" s="15" t="s">
        <v>103</v>
      </c>
      <c r="E20" s="15">
        <v>308</v>
      </c>
      <c r="F20" s="15">
        <v>1416</v>
      </c>
      <c r="G20" s="16">
        <v>744451.4</v>
      </c>
      <c r="H20" s="16">
        <v>2417.0500000000002</v>
      </c>
    </row>
    <row r="21" spans="1:8">
      <c r="A21" s="15" t="s">
        <v>125</v>
      </c>
      <c r="B21" s="15" t="s">
        <v>74</v>
      </c>
      <c r="C21" s="15" t="s">
        <v>18</v>
      </c>
      <c r="D21" s="15" t="s">
        <v>120</v>
      </c>
      <c r="E21" s="15">
        <v>299</v>
      </c>
      <c r="F21" s="15">
        <v>1305</v>
      </c>
      <c r="G21" s="16">
        <v>740060.12</v>
      </c>
      <c r="H21" s="16">
        <v>2475.12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 Summary</vt:lpstr>
      <vt:lpstr>Expiry Summary</vt:lpstr>
      <vt:lpstr>Product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patel</cp:lastModifiedBy>
  <dcterms:modified xsi:type="dcterms:W3CDTF">2026-04-22T05:41:51Z</dcterms:modified>
</cp:coreProperties>
</file>